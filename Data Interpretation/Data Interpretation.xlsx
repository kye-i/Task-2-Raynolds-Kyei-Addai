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4c8ba14f16dd180f/Desktop/"/>
    </mc:Choice>
  </mc:AlternateContent>
  <xr:revisionPtr revIDLastSave="0" documentId="8_{DC63A8A8-1BBF-4EE2-AA33-7DBB78618916}" xr6:coauthVersionLast="47" xr6:coauthVersionMax="47" xr10:uidLastSave="{00000000-0000-0000-0000-000000000000}"/>
  <bookViews>
    <workbookView xWindow="-110" yWindow="-110" windowWidth="19420" windowHeight="10300" xr2:uid="{EF170E71-4CC4-403C-B50A-2B5ACA9BF495}"/>
  </bookViews>
  <sheets>
    <sheet name="DataInterpretation"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1" l="1"/>
  <c r="B19" i="1"/>
  <c r="E11" i="1"/>
  <c r="E10" i="1"/>
  <c r="E9" i="1"/>
  <c r="E8" i="1"/>
  <c r="E6" i="1"/>
  <c r="E5" i="1"/>
  <c r="E4" i="1"/>
  <c r="E3" i="1"/>
</calcChain>
</file>

<file path=xl/sharedStrings.xml><?xml version="1.0" encoding="utf-8"?>
<sst xmlns="http://schemas.openxmlformats.org/spreadsheetml/2006/main" count="43" uniqueCount="35">
  <si>
    <t>Column Name</t>
  </si>
  <si>
    <t>Data Type</t>
  </si>
  <si>
    <t>Exporatory Data Analysis</t>
  </si>
  <si>
    <t>Dataset Representation</t>
  </si>
  <si>
    <t>OrderID</t>
  </si>
  <si>
    <t>Text/Object</t>
  </si>
  <si>
    <t>Average of UnitPrice</t>
  </si>
  <si>
    <t>Date</t>
  </si>
  <si>
    <t>Median of UnitPrice</t>
  </si>
  <si>
    <t>CustomerID</t>
  </si>
  <si>
    <t>Minimum of UnitPrice</t>
  </si>
  <si>
    <t>Product</t>
  </si>
  <si>
    <t>Text/Obeject</t>
  </si>
  <si>
    <t>Maximum of UnitPrice</t>
  </si>
  <si>
    <t>Quantity</t>
  </si>
  <si>
    <t>Integer</t>
  </si>
  <si>
    <t>UnitPrice</t>
  </si>
  <si>
    <t>Float/Decimal</t>
  </si>
  <si>
    <t>Average of TotalPrice</t>
  </si>
  <si>
    <t>ShippingAddress</t>
  </si>
  <si>
    <t>Text</t>
  </si>
  <si>
    <t>Median of TotalPrice</t>
  </si>
  <si>
    <t>PaymentMethod</t>
  </si>
  <si>
    <t>Minimum of TotalPrice</t>
  </si>
  <si>
    <t>OrderStatus</t>
  </si>
  <si>
    <t>Maximum of TotalPrice</t>
  </si>
  <si>
    <t>TrackingNumber</t>
  </si>
  <si>
    <t>ItemsInCart</t>
  </si>
  <si>
    <t>CouponCode</t>
  </si>
  <si>
    <t>ReferralSource</t>
  </si>
  <si>
    <t>TotalPrice</t>
  </si>
  <si>
    <t>Decimal/Float</t>
  </si>
  <si>
    <t>Dataset size</t>
  </si>
  <si>
    <t>Rows(Observations)</t>
  </si>
  <si>
    <t>Columns(Features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</si>
</sst>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
  </numFmts>
  <fonts count="6" x14ac:knownFonts="1">
    <font>
      <sz val="11"/>
      <color theme="1"/>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
      <b/>
      <sz val="14"/>
      <color theme="0"/>
      <name val="Microsoft JhengHei"/>
      <family val="2"/>
    </font>
    <font>
      <sz val="16"/>
      <color theme="0"/>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2" tint="-9.9978637043366805E-2"/>
        <bgColor indexed="64"/>
      </patternFill>
    </fill>
    <fill>
      <patternFill patternType="solid">
        <fgColor theme="3" tint="0.59999389629810485"/>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1">
    <xf numFmtId="0" fontId="0" fillId="0" borderId="0"/>
  </cellStyleXfs>
  <cellXfs count="12">
    <xf numFmtId="0" fontId="0" fillId="0" borderId="0" xfId="0"/>
    <xf numFmtId="0" fontId="3" fillId="2" borderId="1" xfId="0" applyFont="1" applyFill="1" applyBorder="1"/>
    <xf numFmtId="0" fontId="4" fillId="2" borderId="0" xfId="0" applyFont="1" applyFill="1" applyAlignment="1">
      <alignment horizontal="centerContinuous"/>
    </xf>
    <xf numFmtId="164" fontId="2" fillId="2" borderId="0" xfId="0" applyNumberFormat="1" applyFont="1" applyFill="1" applyAlignment="1">
      <alignment horizontal="centerContinuous"/>
    </xf>
    <xf numFmtId="164" fontId="0" fillId="0" borderId="0" xfId="0" applyNumberFormat="1"/>
    <xf numFmtId="0" fontId="3" fillId="2" borderId="0" xfId="0" applyFont="1" applyFill="1" applyAlignment="1">
      <alignment horizontal="centerContinuous"/>
    </xf>
    <xf numFmtId="0" fontId="0" fillId="3" borderId="0" xfId="0" applyFill="1"/>
    <xf numFmtId="0" fontId="1" fillId="4" borderId="0" xfId="0" applyFont="1" applyFill="1"/>
    <xf numFmtId="164" fontId="0" fillId="3" borderId="0" xfId="0" applyNumberFormat="1" applyFill="1"/>
    <xf numFmtId="0" fontId="0" fillId="0" borderId="2" xfId="0" applyBorder="1"/>
    <xf numFmtId="0" fontId="5" fillId="2" borderId="0" xfId="0" applyFont="1" applyFill="1" applyAlignment="1">
      <alignment horizontal="centerContinuous"/>
    </xf>
    <xf numFmtId="0" fontId="0" fillId="3"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12698</xdr:rowOff>
    </xdr:from>
    <xdr:to>
      <xdr:col>13</xdr:col>
      <xdr:colOff>9203</xdr:colOff>
      <xdr:row>11</xdr:row>
      <xdr:rowOff>21165</xdr:rowOff>
    </xdr:to>
    <xdr:sp macro="" textlink="">
      <xdr:nvSpPr>
        <xdr:cNvPr id="2" name="TextBox 1">
          <a:extLst>
            <a:ext uri="{FF2B5EF4-FFF2-40B4-BE49-F238E27FC236}">
              <a16:creationId xmlns:a16="http://schemas.microsoft.com/office/drawing/2014/main" id="{4E4438EC-293B-4966-9F94-E44FD5F2CFE2}"/>
            </a:ext>
          </a:extLst>
        </xdr:cNvPr>
        <xdr:cNvSpPr txBox="1"/>
      </xdr:nvSpPr>
      <xdr:spPr>
        <a:xfrm>
          <a:off x="7607300" y="463548"/>
          <a:ext cx="3057203" cy="1665817"/>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dataset represents an online retail sales system where each row represents a customer order, while the columns contain information about the products, pricing, payment method, shipping, and customer activity</a:t>
          </a:r>
        </a:p>
      </xdr:txBody>
    </xdr:sp>
    <xdr:clientData/>
  </xdr:twoCellAnchor>
  <xdr:twoCellAnchor>
    <xdr:from>
      <xdr:col>3</xdr:col>
      <xdr:colOff>7055</xdr:colOff>
      <xdr:row>13</xdr:row>
      <xdr:rowOff>14112</xdr:rowOff>
    </xdr:from>
    <xdr:to>
      <xdr:col>13</xdr:col>
      <xdr:colOff>0</xdr:colOff>
      <xdr:row>19</xdr:row>
      <xdr:rowOff>183443</xdr:rowOff>
    </xdr:to>
    <xdr:sp macro="" textlink="">
      <xdr:nvSpPr>
        <xdr:cNvPr id="3" name="TextBox 2">
          <a:extLst>
            <a:ext uri="{FF2B5EF4-FFF2-40B4-BE49-F238E27FC236}">
              <a16:creationId xmlns:a16="http://schemas.microsoft.com/office/drawing/2014/main" id="{87BCD542-8681-4101-9040-DC1284B39ACD}"/>
            </a:ext>
          </a:extLst>
        </xdr:cNvPr>
        <xdr:cNvSpPr txBox="1"/>
      </xdr:nvSpPr>
      <xdr:spPr>
        <a:xfrm>
          <a:off x="3397955" y="2490612"/>
          <a:ext cx="7257345" cy="1356781"/>
        </a:xfrm>
        <a:prstGeom prst="rect">
          <a:avLst/>
        </a:prstGeom>
        <a:solidFill>
          <a:schemeClr val="bg2">
            <a:lumMod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a:t>
          </a:r>
          <a:r>
            <a:rPr lang="en-US" sz="1100" baseline="0">
              <a:solidFill>
                <a:schemeClr val="dk1"/>
              </a:solidFill>
              <a:effectLst/>
              <a:latin typeface="+mn-lt"/>
              <a:ea typeface="+mn-ea"/>
              <a:cs typeface="+mn-cs"/>
            </a:rPr>
            <a:t> dataset contains 1200 e-commerce transaction with 14 variables which is related to Products, pricing, customers and payments methods. Trend analysis showed fluctuations in sales over time, with the highest sales value recorded in June 2024 and the lowest recorded in April 2023.</a:t>
          </a:r>
          <a:endParaRPr lang="en-US">
            <a:effectLst/>
          </a:endParaRPr>
        </a:p>
        <a:p>
          <a:r>
            <a:rPr lang="en-US" sz="1100" baseline="0">
              <a:solidFill>
                <a:schemeClr val="dk1"/>
              </a:solidFill>
              <a:effectLst/>
              <a:latin typeface="+mn-lt"/>
              <a:ea typeface="+mn-ea"/>
              <a:cs typeface="+mn-cs"/>
            </a:rPr>
            <a:t>Product analysis revealed that Chairs, Printers and Laptops generated the highest revenue.</a:t>
          </a:r>
          <a:endParaRPr lang="en-US">
            <a:effectLst/>
          </a:endParaRPr>
        </a:p>
        <a:p>
          <a:r>
            <a:rPr lang="en-US" sz="1100" baseline="0">
              <a:solidFill>
                <a:schemeClr val="dk1"/>
              </a:solidFill>
              <a:effectLst/>
              <a:latin typeface="+mn-lt"/>
              <a:ea typeface="+mn-ea"/>
              <a:cs typeface="+mn-cs"/>
            </a:rPr>
            <a:t>Online payment methods were the most frequently used to purchase the products by the customers.</a:t>
          </a:r>
          <a:endParaRPr lang="en-US">
            <a:effectLst/>
          </a:endParaRPr>
        </a:p>
        <a:p>
          <a:r>
            <a:rPr lang="en-US" sz="1100" baseline="0">
              <a:solidFill>
                <a:schemeClr val="dk1"/>
              </a:solidFill>
              <a:effectLst/>
              <a:latin typeface="+mn-lt"/>
              <a:ea typeface="+mn-ea"/>
              <a:cs typeface="+mn-cs"/>
            </a:rPr>
            <a:t>In addition, the dataset showed high counts of cancelled and returned orders which may require for further business investigation.</a:t>
          </a:r>
          <a:endParaRPr lang="en-US">
            <a:effectLst/>
          </a:endParaRP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PROJECT%201\Excel\Dataset%20for%20Data%20Analytics.xlsx" TargetMode="External"/><Relationship Id="rId1" Type="http://schemas.openxmlformats.org/officeDocument/2006/relationships/externalLinkPath" Target="file:///C:\Users\USER\OneDrive\Desktop\PROJECT%201\Excel\Dataset%20for%20Data%20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sheetName val="DataInterpretation"/>
      <sheetName val="DataAnalysis"/>
      <sheetName val="Dashboard"/>
    </sheetNames>
    <sheetDataSet>
      <sheetData sheetId="0"/>
      <sheetData sheetId="1"/>
      <sheetData sheetId="2"/>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B777-9937-42AC-97D5-33E6942D3443}">
  <dimension ref="A2:M23"/>
  <sheetViews>
    <sheetView tabSelected="1" topLeftCell="A5" zoomScale="90" zoomScaleNormal="90" workbookViewId="0">
      <selection activeCell="A23" sqref="A23"/>
    </sheetView>
  </sheetViews>
  <sheetFormatPr defaultRowHeight="14.5" x14ac:dyDescent="0.35"/>
  <cols>
    <col min="1" max="1" width="26.26953125" customWidth="1"/>
    <col min="2" max="2" width="13.54296875" bestFit="1" customWidth="1"/>
    <col min="4" max="4" width="25.1796875" bestFit="1" customWidth="1"/>
    <col min="5" max="5" width="9" style="4" bestFit="1" customWidth="1"/>
    <col min="6" max="6" width="8.7265625" style="4"/>
  </cols>
  <sheetData>
    <row r="2" spans="1:13" ht="21" x14ac:dyDescent="0.5">
      <c r="A2" s="1" t="s">
        <v>0</v>
      </c>
      <c r="B2" s="1" t="s">
        <v>1</v>
      </c>
      <c r="D2" s="2" t="s">
        <v>2</v>
      </c>
      <c r="E2" s="3"/>
      <c r="I2" s="5" t="s">
        <v>3</v>
      </c>
      <c r="J2" s="5"/>
      <c r="K2" s="5"/>
      <c r="L2" s="5"/>
      <c r="M2" s="5"/>
    </row>
    <row r="3" spans="1:13" x14ac:dyDescent="0.35">
      <c r="A3" s="6" t="s">
        <v>4</v>
      </c>
      <c r="B3" s="6" t="s">
        <v>5</v>
      </c>
      <c r="D3" s="7" t="s">
        <v>6</v>
      </c>
      <c r="E3" s="8">
        <f>AVERAGE([1]!onlineSales[UnitPrice])</f>
        <v>356.41274999999939</v>
      </c>
      <c r="I3" s="9"/>
    </row>
    <row r="4" spans="1:13" x14ac:dyDescent="0.35">
      <c r="A4" s="6" t="s">
        <v>7</v>
      </c>
      <c r="B4" s="6" t="s">
        <v>7</v>
      </c>
      <c r="D4" s="7" t="s">
        <v>8</v>
      </c>
      <c r="E4" s="8">
        <f>MEDIAN([1]!onlineSales[UnitPrice])</f>
        <v>364.21</v>
      </c>
    </row>
    <row r="5" spans="1:13" x14ac:dyDescent="0.35">
      <c r="A5" s="6" t="s">
        <v>9</v>
      </c>
      <c r="B5" s="6" t="s">
        <v>5</v>
      </c>
      <c r="D5" s="7" t="s">
        <v>10</v>
      </c>
      <c r="E5" s="8">
        <f>MIN([1]!onlineSales[UnitPrice])</f>
        <v>11.39</v>
      </c>
    </row>
    <row r="6" spans="1:13" x14ac:dyDescent="0.35">
      <c r="A6" s="6" t="s">
        <v>11</v>
      </c>
      <c r="B6" s="6" t="s">
        <v>12</v>
      </c>
      <c r="D6" s="7" t="s">
        <v>13</v>
      </c>
      <c r="E6" s="8">
        <f>MAX([1]!onlineSales[UnitPrice])</f>
        <v>699.93</v>
      </c>
    </row>
    <row r="7" spans="1:13" x14ac:dyDescent="0.35">
      <c r="A7" s="6" t="s">
        <v>14</v>
      </c>
      <c r="B7" s="6" t="s">
        <v>15</v>
      </c>
    </row>
    <row r="8" spans="1:13" x14ac:dyDescent="0.35">
      <c r="A8" s="6" t="s">
        <v>16</v>
      </c>
      <c r="B8" s="6" t="s">
        <v>17</v>
      </c>
      <c r="D8" s="7" t="s">
        <v>18</v>
      </c>
      <c r="E8" s="8">
        <f>AVERAGE([1]!onlineSales[TotalPrice])</f>
        <v>1053.9682999999998</v>
      </c>
    </row>
    <row r="9" spans="1:13" x14ac:dyDescent="0.35">
      <c r="A9" s="6" t="s">
        <v>19</v>
      </c>
      <c r="B9" s="6" t="s">
        <v>20</v>
      </c>
      <c r="D9" s="7" t="s">
        <v>21</v>
      </c>
      <c r="E9" s="8">
        <f>MEDIAN([1]!onlineSales[TotalPrice])</f>
        <v>823.61500000000001</v>
      </c>
    </row>
    <row r="10" spans="1:13" x14ac:dyDescent="0.35">
      <c r="A10" s="6" t="s">
        <v>22</v>
      </c>
      <c r="B10" s="6" t="s">
        <v>20</v>
      </c>
      <c r="D10" s="7" t="s">
        <v>23</v>
      </c>
      <c r="E10" s="8">
        <f>MIN([1]!onlineSales[TotalPrice])</f>
        <v>11.39</v>
      </c>
    </row>
    <row r="11" spans="1:13" x14ac:dyDescent="0.35">
      <c r="A11" s="6" t="s">
        <v>24</v>
      </c>
      <c r="B11" s="6" t="s">
        <v>20</v>
      </c>
      <c r="D11" s="7" t="s">
        <v>25</v>
      </c>
      <c r="E11" s="8">
        <f>MAX([1]!onlineSales[TotalPrice])</f>
        <v>3456.4</v>
      </c>
    </row>
    <row r="12" spans="1:13" x14ac:dyDescent="0.35">
      <c r="A12" s="6" t="s">
        <v>26</v>
      </c>
      <c r="B12" s="6" t="s">
        <v>20</v>
      </c>
    </row>
    <row r="13" spans="1:13" x14ac:dyDescent="0.35">
      <c r="A13" s="6" t="s">
        <v>27</v>
      </c>
      <c r="B13" s="6" t="s">
        <v>15</v>
      </c>
    </row>
    <row r="14" spans="1:13" x14ac:dyDescent="0.35">
      <c r="A14" s="6" t="s">
        <v>28</v>
      </c>
      <c r="B14" s="6" t="s">
        <v>20</v>
      </c>
    </row>
    <row r="15" spans="1:13" x14ac:dyDescent="0.35">
      <c r="A15" s="6" t="s">
        <v>29</v>
      </c>
      <c r="B15" s="6" t="s">
        <v>20</v>
      </c>
    </row>
    <row r="16" spans="1:13" x14ac:dyDescent="0.35">
      <c r="A16" s="6" t="s">
        <v>30</v>
      </c>
      <c r="B16" s="6" t="s">
        <v>31</v>
      </c>
    </row>
    <row r="18" spans="1:2" ht="21" x14ac:dyDescent="0.5">
      <c r="A18" s="5" t="s">
        <v>32</v>
      </c>
      <c r="B18" s="10"/>
    </row>
    <row r="19" spans="1:2" x14ac:dyDescent="0.35">
      <c r="A19" s="6" t="s">
        <v>33</v>
      </c>
      <c r="B19" s="6">
        <f>COUNTA([1]!onlineSales[OrderID])</f>
        <v>1200</v>
      </c>
    </row>
    <row r="20" spans="1:2" x14ac:dyDescent="0.35">
      <c r="A20" s="11" t="s">
        <v>34</v>
      </c>
      <c r="B20" s="11">
        <f>COLUMNS([1]!onlineSales[#All])</f>
        <v>14</v>
      </c>
    </row>
    <row r="23" spans="1:2" ht="12.5" customHeight="1" x14ac:dyDescent="0.35"/>
  </sheetData>
  <conditionalFormatting sqref="E3:E6">
    <cfRule type="dataBar" priority="2">
      <dataBar>
        <cfvo type="min"/>
        <cfvo type="max"/>
        <color rgb="FF008AEF"/>
      </dataBar>
      <extLst>
        <ext xmlns:x14="http://schemas.microsoft.com/office/spreadsheetml/2009/9/main" uri="{B025F937-C7B1-47D3-B67F-A62EFF666E3E}">
          <x14:id>{20345AAD-8E20-48A6-BC21-880B0296BE71}</x14:id>
        </ext>
      </extLst>
    </cfRule>
  </conditionalFormatting>
  <conditionalFormatting sqref="E8:E11">
    <cfRule type="dataBar" priority="1">
      <dataBar>
        <cfvo type="min"/>
        <cfvo type="max"/>
        <color rgb="FF008AEF"/>
      </dataBar>
      <extLst>
        <ext xmlns:x14="http://schemas.microsoft.com/office/spreadsheetml/2009/9/main" uri="{B025F937-C7B1-47D3-B67F-A62EFF666E3E}">
          <x14:id>{891BD81D-B3DA-42C0-907C-9C3B88DCE85C}</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0345AAD-8E20-48A6-BC21-880B0296BE71}">
            <x14:dataBar minLength="0" maxLength="100" border="1" negativeBarBorderColorSameAsPositive="0">
              <x14:cfvo type="autoMin"/>
              <x14:cfvo type="autoMax"/>
              <x14:borderColor rgb="FF008AEF"/>
              <x14:negativeFillColor rgb="FFFF0000"/>
              <x14:negativeBorderColor rgb="FFFF0000"/>
              <x14:axisColor rgb="FF000000"/>
            </x14:dataBar>
          </x14:cfRule>
          <xm:sqref>E3:E6</xm:sqref>
        </x14:conditionalFormatting>
        <x14:conditionalFormatting xmlns:xm="http://schemas.microsoft.com/office/excel/2006/main">
          <x14:cfRule type="dataBar" id="{891BD81D-B3DA-42C0-907C-9C3B88DCE85C}">
            <x14:dataBar minLength="0" maxLength="100" border="1" negativeBarBorderColorSameAsPositive="0">
              <x14:cfvo type="autoMin"/>
              <x14:cfvo type="autoMax"/>
              <x14:borderColor rgb="FF008AEF"/>
              <x14:negativeFillColor rgb="FFFF0000"/>
              <x14:negativeBorderColor rgb="FFFF0000"/>
              <x14:axisColor rgb="FF000000"/>
            </x14:dataBar>
          </x14:cfRule>
          <xm:sqref>E8:E11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DataInterpretation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K.Addai</dc:creator>
  <cp:lastModifiedBy>R K.Addai</cp:lastModifiedBy>
  <dcterms:created xsi:type="dcterms:W3CDTF">2026-06-02T19:09:01Z</dcterms:created>
  <dcterms:modified xsi:type="dcterms:W3CDTF">2026-06-02T19:10:31Z</dcterms:modified>
</cp:coreProperties>
</file>